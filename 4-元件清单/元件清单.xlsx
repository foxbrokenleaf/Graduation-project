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MoneyDeveploProject\bishe\6.基于单片机技术的汽车尾气检测装置的设计与制作\4-元件清单\"/>
    </mc:Choice>
  </mc:AlternateContent>
  <xr:revisionPtr revIDLastSave="0" documentId="13_ncr:1_{3F3EFA5F-91D7-4520-B831-2C55B42626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E26" i="1"/>
  <c r="E25" i="1"/>
  <c r="E24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3" i="1"/>
</calcChain>
</file>

<file path=xl/sharedStrings.xml><?xml version="1.0" encoding="utf-8"?>
<sst xmlns="http://schemas.openxmlformats.org/spreadsheetml/2006/main" count="36" uniqueCount="36">
  <si>
    <t>序号</t>
    <phoneticPr fontId="1" type="noConversion"/>
  </si>
  <si>
    <t>元件</t>
    <phoneticPr fontId="1" type="noConversion"/>
  </si>
  <si>
    <t>元件清单</t>
    <phoneticPr fontId="1" type="noConversion"/>
  </si>
  <si>
    <t>STM32F103VCT6</t>
    <phoneticPr fontId="1" type="noConversion"/>
  </si>
  <si>
    <t>CH32V203F6P6</t>
    <phoneticPr fontId="1" type="noConversion"/>
  </si>
  <si>
    <t>R0805 10K</t>
    <phoneticPr fontId="1" type="noConversion"/>
  </si>
  <si>
    <t>TYPE-C 16P</t>
    <phoneticPr fontId="1" type="noConversion"/>
  </si>
  <si>
    <t>LED0805 Red</t>
    <phoneticPr fontId="1" type="noConversion"/>
  </si>
  <si>
    <t>R0805 1K3</t>
    <phoneticPr fontId="1" type="noConversion"/>
  </si>
  <si>
    <t>R0805 5K1</t>
    <phoneticPr fontId="1" type="noConversion"/>
  </si>
  <si>
    <t>C0805 10U</t>
    <phoneticPr fontId="1" type="noConversion"/>
  </si>
  <si>
    <t>C0805 22U</t>
    <phoneticPr fontId="1" type="noConversion"/>
  </si>
  <si>
    <t>C0805 0U1</t>
    <phoneticPr fontId="1" type="noConversion"/>
  </si>
  <si>
    <t>ASM1117 3.3</t>
    <phoneticPr fontId="1" type="noConversion"/>
  </si>
  <si>
    <t>C0805 4U7</t>
    <phoneticPr fontId="1" type="noConversion"/>
  </si>
  <si>
    <t>C0805 1U</t>
    <phoneticPr fontId="1" type="noConversion"/>
  </si>
  <si>
    <t>C0805 10N</t>
    <phoneticPr fontId="1" type="noConversion"/>
  </si>
  <si>
    <t>R0805 0R</t>
    <phoneticPr fontId="1" type="noConversion"/>
  </si>
  <si>
    <t>计价</t>
    <phoneticPr fontId="1" type="noConversion"/>
  </si>
  <si>
    <t>总价</t>
    <phoneticPr fontId="1" type="noConversion"/>
  </si>
  <si>
    <t>MQ-9</t>
    <phoneticPr fontId="1" type="noConversion"/>
  </si>
  <si>
    <t>CO、可燃气体</t>
    <phoneticPr fontId="1" type="noConversion"/>
  </si>
  <si>
    <t>MQ-135</t>
    <phoneticPr fontId="1" type="noConversion"/>
  </si>
  <si>
    <t>氨气、硫化物、苯</t>
    <phoneticPr fontId="1" type="noConversion"/>
  </si>
  <si>
    <t>DHT11</t>
    <phoneticPr fontId="1" type="noConversion"/>
  </si>
  <si>
    <t>OLED0.96</t>
    <phoneticPr fontId="1" type="noConversion"/>
  </si>
  <si>
    <t>WiFi</t>
    <phoneticPr fontId="1" type="noConversion"/>
  </si>
  <si>
    <t>5V蜂鸣器</t>
    <phoneticPr fontId="1" type="noConversion"/>
  </si>
  <si>
    <t>单价</t>
    <phoneticPr fontId="1" type="noConversion"/>
  </si>
  <si>
    <t>数量</t>
    <phoneticPr fontId="1" type="noConversion"/>
  </si>
  <si>
    <t>备注</t>
    <phoneticPr fontId="1" type="noConversion"/>
  </si>
  <si>
    <t xml:space="preserve"> </t>
    <phoneticPr fontId="1" type="noConversion"/>
  </si>
  <si>
    <t>S8050</t>
    <phoneticPr fontId="1" type="noConversion"/>
  </si>
  <si>
    <t>1N4007</t>
    <phoneticPr fontId="1" type="noConversion"/>
  </si>
  <si>
    <t>6*6*5按键</t>
    <phoneticPr fontId="1" type="noConversion"/>
  </si>
  <si>
    <t>基于单片机技术的汽车尾气检测装置的设计与制作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</si>
</sst>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zoomScale="130" zoomScaleNormal="130" workbookViewId="0">
      <selection activeCell="G28" sqref="G28"/>
    </sheetView>
  </sheetViews>
  <sheetFormatPr defaultRowHeight="14.25" x14ac:dyDescent="0.2"/>
  <cols>
    <col min="1" max="1" width="8.625" style="1"/>
    <col min="2" max="2" width="17.25" style="1" customWidth="1"/>
    <col min="5" max="5" width="11.625" style="2" customWidth="1"/>
    <col min="6" max="6" width="17" style="2" customWidth="1"/>
    <col min="7" max="7" width="18.375" customWidth="1"/>
  </cols>
  <sheetData>
    <row r="1" spans="1:8" x14ac:dyDescent="0.2">
      <c r="A1" s="3" t="s">
        <v>2</v>
      </c>
      <c r="B1" s="3"/>
      <c r="C1" s="3" t="s">
        <v>35</v>
      </c>
      <c r="D1" s="3"/>
      <c r="E1" s="3"/>
      <c r="F1" s="3"/>
      <c r="G1" s="3"/>
    </row>
    <row r="2" spans="1:8" x14ac:dyDescent="0.2">
      <c r="A2" s="1" t="s">
        <v>0</v>
      </c>
      <c r="B2" s="1" t="s">
        <v>1</v>
      </c>
      <c r="C2" s="1" t="s">
        <v>28</v>
      </c>
      <c r="D2" s="1" t="s">
        <v>29</v>
      </c>
      <c r="E2" s="1" t="s">
        <v>18</v>
      </c>
      <c r="F2" s="1" t="s">
        <v>19</v>
      </c>
      <c r="G2" s="4" t="s">
        <v>30</v>
      </c>
    </row>
    <row r="3" spans="1:8" x14ac:dyDescent="0.2">
      <c r="A3" s="1">
        <v>1</v>
      </c>
      <c r="B3" s="1" t="s">
        <v>3</v>
      </c>
      <c r="C3" s="1">
        <v>9.7899999999999991</v>
      </c>
      <c r="D3" s="1">
        <v>1</v>
      </c>
      <c r="E3" s="1">
        <f>C3*D3</f>
        <v>9.7899999999999991</v>
      </c>
      <c r="F3" s="1">
        <f>SUM(E:E)</f>
        <v>64.766199999999998</v>
      </c>
      <c r="G3" s="5"/>
    </row>
    <row r="4" spans="1:8" x14ac:dyDescent="0.2">
      <c r="A4" s="1">
        <v>2</v>
      </c>
      <c r="B4" s="1" t="s">
        <v>4</v>
      </c>
      <c r="C4" s="1">
        <v>3</v>
      </c>
      <c r="D4" s="1">
        <v>1</v>
      </c>
      <c r="E4" s="1">
        <f t="shared" ref="E4:E26" si="0">C4*D4</f>
        <v>3</v>
      </c>
      <c r="F4" s="1">
        <f>F3+400</f>
        <v>464.76620000000003</v>
      </c>
      <c r="G4" s="5"/>
    </row>
    <row r="5" spans="1:8" x14ac:dyDescent="0.2">
      <c r="A5" s="1">
        <v>3</v>
      </c>
      <c r="B5" s="1" t="s">
        <v>13</v>
      </c>
      <c r="C5" s="1">
        <v>0.28100000000000003</v>
      </c>
      <c r="D5" s="1">
        <v>1</v>
      </c>
      <c r="E5" s="1">
        <f t="shared" si="0"/>
        <v>0.28100000000000003</v>
      </c>
      <c r="F5" s="1"/>
      <c r="G5" s="5"/>
    </row>
    <row r="6" spans="1:8" x14ac:dyDescent="0.2">
      <c r="A6" s="1">
        <v>4</v>
      </c>
      <c r="B6" s="1" t="s">
        <v>10</v>
      </c>
      <c r="C6" s="1">
        <v>7.6999999999999999E-2</v>
      </c>
      <c r="D6" s="1">
        <v>5</v>
      </c>
      <c r="E6" s="1">
        <f t="shared" si="0"/>
        <v>0.38500000000000001</v>
      </c>
      <c r="F6" s="1"/>
      <c r="G6" s="5"/>
    </row>
    <row r="7" spans="1:8" x14ac:dyDescent="0.2">
      <c r="A7" s="1">
        <v>5</v>
      </c>
      <c r="B7" s="1" t="s">
        <v>11</v>
      </c>
      <c r="C7" s="1">
        <v>0.11</v>
      </c>
      <c r="D7" s="1">
        <v>1</v>
      </c>
      <c r="E7" s="1">
        <f t="shared" si="0"/>
        <v>0.11</v>
      </c>
      <c r="F7" s="1"/>
      <c r="G7" s="5"/>
    </row>
    <row r="8" spans="1:8" x14ac:dyDescent="0.2">
      <c r="A8" s="1">
        <v>6</v>
      </c>
      <c r="B8" s="1" t="s">
        <v>12</v>
      </c>
      <c r="C8" s="1">
        <v>4.3999999999999997E-2</v>
      </c>
      <c r="D8" s="1">
        <v>10</v>
      </c>
      <c r="E8" s="1">
        <f t="shared" si="0"/>
        <v>0.43999999999999995</v>
      </c>
      <c r="F8" s="1"/>
      <c r="G8" s="5"/>
    </row>
    <row r="9" spans="1:8" x14ac:dyDescent="0.2">
      <c r="A9" s="1">
        <v>7</v>
      </c>
      <c r="B9" s="1" t="s">
        <v>5</v>
      </c>
      <c r="C9" s="1">
        <v>2.75E-2</v>
      </c>
      <c r="D9" s="1">
        <v>15</v>
      </c>
      <c r="E9" s="1">
        <f t="shared" si="0"/>
        <v>0.41249999999999998</v>
      </c>
      <c r="F9" s="1"/>
      <c r="G9" s="5"/>
    </row>
    <row r="10" spans="1:8" x14ac:dyDescent="0.2">
      <c r="A10" s="1">
        <v>8</v>
      </c>
      <c r="B10" s="1" t="s">
        <v>6</v>
      </c>
      <c r="C10" s="1">
        <v>0.7</v>
      </c>
      <c r="D10" s="1">
        <v>1</v>
      </c>
      <c r="E10" s="1">
        <f t="shared" si="0"/>
        <v>0.7</v>
      </c>
      <c r="F10" s="1"/>
      <c r="G10" s="5"/>
      <c r="H10" t="s">
        <v>31</v>
      </c>
    </row>
    <row r="11" spans="1:8" x14ac:dyDescent="0.2">
      <c r="A11" s="1">
        <v>9</v>
      </c>
      <c r="B11" s="1" t="s">
        <v>9</v>
      </c>
      <c r="C11" s="1">
        <v>2.75E-2</v>
      </c>
      <c r="D11" s="1">
        <v>2</v>
      </c>
      <c r="E11" s="1">
        <f t="shared" si="0"/>
        <v>5.5E-2</v>
      </c>
      <c r="F11" s="1"/>
      <c r="G11" s="5"/>
    </row>
    <row r="12" spans="1:8" x14ac:dyDescent="0.2">
      <c r="A12" s="1">
        <v>10</v>
      </c>
      <c r="B12" s="1" t="s">
        <v>7</v>
      </c>
      <c r="C12" s="1">
        <v>0.154</v>
      </c>
      <c r="D12" s="1">
        <v>3</v>
      </c>
      <c r="E12" s="1">
        <f t="shared" si="0"/>
        <v>0.46199999999999997</v>
      </c>
      <c r="F12" s="1"/>
      <c r="G12" s="5"/>
    </row>
    <row r="13" spans="1:8" x14ac:dyDescent="0.2">
      <c r="A13" s="1">
        <v>11</v>
      </c>
      <c r="B13" s="1" t="s">
        <v>8</v>
      </c>
      <c r="C13" s="1">
        <v>2.75E-2</v>
      </c>
      <c r="D13" s="1">
        <v>10</v>
      </c>
      <c r="E13" s="1">
        <f t="shared" si="0"/>
        <v>0.27500000000000002</v>
      </c>
      <c r="F13" s="1"/>
      <c r="G13" s="5"/>
    </row>
    <row r="14" spans="1:8" x14ac:dyDescent="0.2">
      <c r="A14" s="1">
        <v>12</v>
      </c>
      <c r="B14" s="1" t="s">
        <v>14</v>
      </c>
      <c r="C14" s="1">
        <v>8.7999999999999995E-2</v>
      </c>
      <c r="D14" s="1">
        <v>1</v>
      </c>
      <c r="E14" s="1">
        <f t="shared" si="0"/>
        <v>8.7999999999999995E-2</v>
      </c>
      <c r="F14" s="1"/>
      <c r="G14" s="5"/>
    </row>
    <row r="15" spans="1:8" x14ac:dyDescent="0.2">
      <c r="A15" s="1">
        <v>13</v>
      </c>
      <c r="B15" s="1" t="s">
        <v>15</v>
      </c>
      <c r="C15" s="1">
        <v>5.5E-2</v>
      </c>
      <c r="D15" s="1">
        <v>4</v>
      </c>
      <c r="E15" s="1">
        <f t="shared" si="0"/>
        <v>0.22</v>
      </c>
      <c r="F15" s="1"/>
      <c r="G15" s="5"/>
    </row>
    <row r="16" spans="1:8" x14ac:dyDescent="0.2">
      <c r="A16" s="1">
        <v>14</v>
      </c>
      <c r="B16" s="1" t="s">
        <v>16</v>
      </c>
      <c r="C16" s="1">
        <v>4.3999999999999997E-2</v>
      </c>
      <c r="D16" s="1">
        <v>2</v>
      </c>
      <c r="E16" s="1">
        <f t="shared" si="0"/>
        <v>8.7999999999999995E-2</v>
      </c>
      <c r="F16" s="1"/>
      <c r="G16" s="5"/>
    </row>
    <row r="17" spans="1:7" x14ac:dyDescent="0.2">
      <c r="A17" s="1">
        <v>15</v>
      </c>
      <c r="B17" s="1" t="s">
        <v>17</v>
      </c>
      <c r="C17" s="1">
        <v>8.8000000000000005E-3</v>
      </c>
      <c r="D17" s="1">
        <v>0</v>
      </c>
      <c r="E17" s="1">
        <f t="shared" si="0"/>
        <v>0</v>
      </c>
      <c r="F17" s="1"/>
      <c r="G17" s="5"/>
    </row>
    <row r="18" spans="1:7" x14ac:dyDescent="0.2">
      <c r="A18" s="1">
        <v>16</v>
      </c>
      <c r="B18" s="1" t="s">
        <v>20</v>
      </c>
      <c r="C18" s="1">
        <v>5.72</v>
      </c>
      <c r="D18" s="1">
        <v>1</v>
      </c>
      <c r="E18" s="1">
        <f t="shared" si="0"/>
        <v>5.72</v>
      </c>
      <c r="F18" s="1"/>
      <c r="G18" s="1" t="s">
        <v>21</v>
      </c>
    </row>
    <row r="19" spans="1:7" x14ac:dyDescent="0.2">
      <c r="A19" s="1">
        <v>17</v>
      </c>
      <c r="B19" s="1" t="s">
        <v>22</v>
      </c>
      <c r="C19" s="1">
        <v>6.6</v>
      </c>
      <c r="D19" s="1">
        <v>1</v>
      </c>
      <c r="E19" s="1">
        <f t="shared" si="0"/>
        <v>6.6</v>
      </c>
      <c r="F19" s="1"/>
      <c r="G19" s="1" t="s">
        <v>23</v>
      </c>
    </row>
    <row r="20" spans="1:7" x14ac:dyDescent="0.2">
      <c r="A20" s="1">
        <v>18</v>
      </c>
      <c r="B20" s="1" t="s">
        <v>24</v>
      </c>
      <c r="C20" s="1">
        <v>13.8</v>
      </c>
      <c r="D20" s="1">
        <v>1</v>
      </c>
      <c r="E20" s="1">
        <f t="shared" si="0"/>
        <v>13.8</v>
      </c>
      <c r="F20" s="1"/>
      <c r="G20" s="5"/>
    </row>
    <row r="21" spans="1:7" x14ac:dyDescent="0.2">
      <c r="A21" s="1">
        <v>19</v>
      </c>
      <c r="B21" s="1" t="s">
        <v>25</v>
      </c>
      <c r="C21" s="1">
        <v>11.3</v>
      </c>
      <c r="D21" s="1">
        <v>1</v>
      </c>
      <c r="E21" s="1">
        <f t="shared" si="0"/>
        <v>11.3</v>
      </c>
      <c r="F21" s="1"/>
      <c r="G21" s="5"/>
    </row>
    <row r="22" spans="1:7" x14ac:dyDescent="0.2">
      <c r="A22" s="1">
        <v>20</v>
      </c>
      <c r="B22" s="1" t="s">
        <v>26</v>
      </c>
      <c r="C22" s="1">
        <v>9.5</v>
      </c>
      <c r="D22" s="1">
        <v>1</v>
      </c>
      <c r="E22" s="1">
        <f t="shared" si="0"/>
        <v>9.5</v>
      </c>
      <c r="F22" s="1"/>
      <c r="G22" s="5"/>
    </row>
    <row r="23" spans="1:7" x14ac:dyDescent="0.2">
      <c r="A23" s="1">
        <v>21</v>
      </c>
      <c r="B23" s="1" t="s">
        <v>27</v>
      </c>
      <c r="C23" s="1">
        <v>1.4</v>
      </c>
      <c r="D23" s="1">
        <v>1</v>
      </c>
      <c r="E23" s="1">
        <f t="shared" si="0"/>
        <v>1.4</v>
      </c>
      <c r="F23" s="1"/>
      <c r="G23" s="5"/>
    </row>
    <row r="24" spans="1:7" x14ac:dyDescent="0.2">
      <c r="A24" s="1">
        <v>21</v>
      </c>
      <c r="B24" s="1" t="s">
        <v>32</v>
      </c>
      <c r="C24" s="4">
        <v>6.6000000000000003E-2</v>
      </c>
      <c r="D24" s="4">
        <v>1</v>
      </c>
      <c r="E24" s="1">
        <f t="shared" si="0"/>
        <v>6.6000000000000003E-2</v>
      </c>
      <c r="F24" s="1"/>
      <c r="G24" s="5"/>
    </row>
    <row r="25" spans="1:7" x14ac:dyDescent="0.2">
      <c r="A25" s="1">
        <v>21</v>
      </c>
      <c r="B25" s="1" t="s">
        <v>33</v>
      </c>
      <c r="C25" s="4">
        <v>3.5200000000000002E-2</v>
      </c>
      <c r="D25" s="4">
        <v>1</v>
      </c>
      <c r="E25" s="1">
        <f t="shared" si="0"/>
        <v>3.5200000000000002E-2</v>
      </c>
      <c r="F25" s="1"/>
      <c r="G25" s="5"/>
    </row>
    <row r="26" spans="1:7" x14ac:dyDescent="0.2">
      <c r="A26" s="1">
        <v>21</v>
      </c>
      <c r="B26" s="1" t="s">
        <v>34</v>
      </c>
      <c r="C26" s="4">
        <v>3.85E-2</v>
      </c>
      <c r="D26" s="4">
        <v>1</v>
      </c>
      <c r="E26" s="1">
        <f t="shared" si="0"/>
        <v>3.85E-2</v>
      </c>
      <c r="F26" s="1"/>
      <c r="G26" s="5"/>
    </row>
    <row r="27" spans="1:7" x14ac:dyDescent="0.2">
      <c r="A27" s="6"/>
      <c r="B27" s="6"/>
    </row>
  </sheetData>
  <mergeCells count="2">
    <mergeCell ref="A1:B1"/>
    <mergeCell ref="C1:G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leaf233 Broken</dc:creator>
  <cp:lastModifiedBy>leaf233 Broken</cp:lastModifiedBy>
  <dcterms:created xsi:type="dcterms:W3CDTF">2015-06-05T18:19:34Z</dcterms:created>
  <dcterms:modified xsi:type="dcterms:W3CDTF">2026-01-17T08:46:52Z</dcterms:modified>
</cp:coreProperties>
</file>