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oneyDeveploProject\bishe\基于单片机的常温药品储存室检测机器人控制系统设计\4-元件清单\"/>
    </mc:Choice>
  </mc:AlternateContent>
  <xr:revisionPtr revIDLastSave="0" documentId="13_ncr:1_{1E739DE4-F7F9-4D1D-8C8D-D00C2398D2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<sst xmlns="http://schemas.openxmlformats.org/spreadsheetml/2006/main" count="27" uniqueCount="27">
  <si>
    <t>序号</t>
    <phoneticPr fontId="1" type="noConversion"/>
  </si>
  <si>
    <t>元件</t>
    <phoneticPr fontId="1" type="noConversion"/>
  </si>
  <si>
    <t>元件清单</t>
    <phoneticPr fontId="1" type="noConversion"/>
  </si>
  <si>
    <t>总价</t>
    <phoneticPr fontId="1" type="noConversion"/>
  </si>
  <si>
    <t>数量</t>
    <phoneticPr fontId="1" type="noConversion"/>
  </si>
  <si>
    <t>STM32F103C6T6</t>
    <phoneticPr fontId="1" type="noConversion"/>
  </si>
  <si>
    <t>Zigbee模块</t>
    <phoneticPr fontId="1" type="noConversion"/>
  </si>
  <si>
    <t>SRD-05VDC-SL-A</t>
    <phoneticPr fontId="1" type="noConversion"/>
  </si>
  <si>
    <t>JW01-C02-V2.2</t>
    <phoneticPr fontId="1" type="noConversion"/>
  </si>
  <si>
    <t>0.96inch-OLED</t>
    <phoneticPr fontId="1" type="noConversion"/>
  </si>
  <si>
    <t>DHT11</t>
    <phoneticPr fontId="1" type="noConversion"/>
  </si>
  <si>
    <t>JQ8900</t>
    <phoneticPr fontId="1" type="noConversion"/>
  </si>
  <si>
    <t>光敏传感器模块</t>
    <phoneticPr fontId="1" type="noConversion"/>
  </si>
  <si>
    <t>火焰传感器模块</t>
    <phoneticPr fontId="1" type="noConversion"/>
  </si>
  <si>
    <t>PC817C</t>
    <phoneticPr fontId="1" type="noConversion"/>
  </si>
  <si>
    <t>单价</t>
    <phoneticPr fontId="1" type="noConversion"/>
  </si>
  <si>
    <t>S8050</t>
    <phoneticPr fontId="1" type="noConversion"/>
  </si>
  <si>
    <t>1N4007-SOD323</t>
    <phoneticPr fontId="1" type="noConversion"/>
  </si>
  <si>
    <t>R0805-1K</t>
    <phoneticPr fontId="1" type="noConversion"/>
  </si>
  <si>
    <t>R0605-10K</t>
    <phoneticPr fontId="1" type="noConversion"/>
  </si>
  <si>
    <t>R0805-470</t>
    <phoneticPr fontId="1" type="noConversion"/>
  </si>
  <si>
    <t>导线</t>
    <phoneticPr fontId="1" type="noConversion"/>
  </si>
  <si>
    <t>PCB</t>
    <phoneticPr fontId="1" type="noConversion"/>
  </si>
  <si>
    <t>排母-4P</t>
    <phoneticPr fontId="1" type="noConversion"/>
  </si>
  <si>
    <t>排母-13P</t>
    <phoneticPr fontId="1" type="noConversion"/>
  </si>
  <si>
    <t>排针-3P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</si>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</sst>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¥&quot;#,##0.00_);[Red]\(&quot;¥&quot;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177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130" zoomScaleNormal="130" workbookViewId="0">
      <selection activeCell="G5" sqref="G5"/>
    </sheetView>
  </sheetViews>
  <sheetFormatPr defaultRowHeight="14" x14ac:dyDescent="0.3"/>
  <cols>
    <col min="1" max="1" width="8.58203125" style="2"/>
    <col min="2" max="2" width="15.83203125" style="2" customWidth="1"/>
    <col min="3" max="3" width="8.58203125" style="2"/>
    <col min="4" max="16384" width="8.6640625" style="3"/>
  </cols>
  <sheetData>
    <row r="1" spans="1:6" x14ac:dyDescent="0.3">
      <c r="A1" s="4" t="s">
        <v>2</v>
      </c>
      <c r="B1" s="4"/>
      <c r="C1" s="4"/>
      <c r="D1" s="4"/>
      <c r="E1" s="4"/>
      <c r="F1" s="4"/>
    </row>
    <row r="2" spans="1:6" x14ac:dyDescent="0.3">
      <c r="A2" s="1" t="s">
        <v>0</v>
      </c>
      <c r="B2" s="1" t="s">
        <v>1</v>
      </c>
      <c r="C2" s="1" t="s">
        <v>4</v>
      </c>
      <c r="D2" s="1" t="s">
        <v>15</v>
      </c>
      <c r="E2" s="1" t="s">
        <v>3</v>
      </c>
      <c r="F2" s="5" t="s">
        <v>26</v>
      </c>
    </row>
    <row r="3" spans="1:6" x14ac:dyDescent="0.3">
      <c r="A3" s="1"/>
      <c r="B3" s="1" t="s">
        <v>5</v>
      </c>
      <c r="C3" s="1">
        <v>1</v>
      </c>
      <c r="D3" s="6">
        <v>6.38</v>
      </c>
      <c r="E3" s="6">
        <f>D3*C3</f>
        <v>6.38</v>
      </c>
      <c r="F3" s="7">
        <f>SUM(E:E)</f>
        <v>138.90800000000002</v>
      </c>
    </row>
    <row r="4" spans="1:6" x14ac:dyDescent="0.3">
      <c r="A4" s="1"/>
      <c r="B4" s="1" t="s">
        <v>6</v>
      </c>
      <c r="C4" s="1">
        <v>2</v>
      </c>
      <c r="D4" s="6">
        <v>36</v>
      </c>
      <c r="E4" s="6">
        <f t="shared" ref="E4:E22" si="0">D4*C4</f>
        <v>72</v>
      </c>
      <c r="F4" s="7">
        <f>F3+400</f>
        <v>538.90800000000002</v>
      </c>
    </row>
    <row r="5" spans="1:6" x14ac:dyDescent="0.3">
      <c r="A5" s="1"/>
      <c r="B5" s="1" t="s">
        <v>7</v>
      </c>
      <c r="C5" s="1">
        <v>4</v>
      </c>
      <c r="D5" s="6">
        <v>1.05</v>
      </c>
      <c r="E5" s="6">
        <f t="shared" si="0"/>
        <v>4.2</v>
      </c>
      <c r="F5" s="7"/>
    </row>
    <row r="6" spans="1:6" x14ac:dyDescent="0.3">
      <c r="A6" s="1"/>
      <c r="B6" s="1" t="s">
        <v>8</v>
      </c>
      <c r="C6" s="1">
        <v>1</v>
      </c>
      <c r="D6" s="6">
        <v>10.8</v>
      </c>
      <c r="E6" s="6">
        <f t="shared" si="0"/>
        <v>10.8</v>
      </c>
      <c r="F6" s="7"/>
    </row>
    <row r="7" spans="1:6" x14ac:dyDescent="0.3">
      <c r="A7" s="1"/>
      <c r="B7" s="1" t="s">
        <v>9</v>
      </c>
      <c r="C7" s="1">
        <v>1</v>
      </c>
      <c r="D7" s="6">
        <v>9.6999999999999993</v>
      </c>
      <c r="E7" s="6">
        <f t="shared" si="0"/>
        <v>9.6999999999999993</v>
      </c>
      <c r="F7" s="7"/>
    </row>
    <row r="8" spans="1:6" x14ac:dyDescent="0.3">
      <c r="A8" s="1"/>
      <c r="B8" s="1" t="s">
        <v>10</v>
      </c>
      <c r="C8" s="1">
        <v>1</v>
      </c>
      <c r="D8" s="6">
        <v>4.17</v>
      </c>
      <c r="E8" s="6">
        <f t="shared" si="0"/>
        <v>4.17</v>
      </c>
      <c r="F8" s="7"/>
    </row>
    <row r="9" spans="1:6" x14ac:dyDescent="0.3">
      <c r="A9" s="1"/>
      <c r="B9" s="1" t="s">
        <v>11</v>
      </c>
      <c r="C9" s="1">
        <v>1</v>
      </c>
      <c r="D9" s="6">
        <v>8.8000000000000007</v>
      </c>
      <c r="E9" s="6">
        <f t="shared" si="0"/>
        <v>8.8000000000000007</v>
      </c>
      <c r="F9" s="7"/>
    </row>
    <row r="10" spans="1:6" x14ac:dyDescent="0.3">
      <c r="A10" s="1"/>
      <c r="B10" s="1" t="s">
        <v>12</v>
      </c>
      <c r="C10" s="1">
        <v>1</v>
      </c>
      <c r="D10" s="6">
        <v>2.95</v>
      </c>
      <c r="E10" s="6">
        <f t="shared" si="0"/>
        <v>2.95</v>
      </c>
      <c r="F10" s="7"/>
    </row>
    <row r="11" spans="1:6" x14ac:dyDescent="0.3">
      <c r="A11" s="1"/>
      <c r="B11" s="1" t="s">
        <v>13</v>
      </c>
      <c r="C11" s="1">
        <v>1</v>
      </c>
      <c r="D11" s="6">
        <v>2.93</v>
      </c>
      <c r="E11" s="6">
        <f t="shared" si="0"/>
        <v>2.93</v>
      </c>
      <c r="F11" s="7"/>
    </row>
    <row r="12" spans="1:6" x14ac:dyDescent="0.3">
      <c r="A12" s="1"/>
      <c r="B12" s="1" t="s">
        <v>14</v>
      </c>
      <c r="C12" s="1">
        <v>4</v>
      </c>
      <c r="D12" s="6">
        <v>0.41199999999999998</v>
      </c>
      <c r="E12" s="6">
        <f t="shared" si="0"/>
        <v>1.6479999999999999</v>
      </c>
      <c r="F12" s="7"/>
    </row>
    <row r="13" spans="1:6" x14ac:dyDescent="0.3">
      <c r="A13" s="1"/>
      <c r="B13" s="1" t="s">
        <v>16</v>
      </c>
      <c r="C13" s="1">
        <v>8</v>
      </c>
      <c r="D13" s="6">
        <v>9.6600000000000005E-2</v>
      </c>
      <c r="E13" s="6">
        <f t="shared" si="0"/>
        <v>0.77280000000000004</v>
      </c>
      <c r="F13" s="7"/>
    </row>
    <row r="14" spans="1:6" x14ac:dyDescent="0.3">
      <c r="A14" s="1"/>
      <c r="B14" s="1" t="s">
        <v>17</v>
      </c>
      <c r="C14" s="1">
        <v>4</v>
      </c>
      <c r="D14" s="6">
        <v>6.7400000000000002E-2</v>
      </c>
      <c r="E14" s="6">
        <f t="shared" si="0"/>
        <v>0.26960000000000001</v>
      </c>
      <c r="F14" s="7"/>
    </row>
    <row r="15" spans="1:6" x14ac:dyDescent="0.3">
      <c r="A15" s="1"/>
      <c r="B15" s="1" t="s">
        <v>18</v>
      </c>
      <c r="C15" s="1">
        <v>11</v>
      </c>
      <c r="D15" s="6">
        <v>4.1099999999999998E-2</v>
      </c>
      <c r="E15" s="6">
        <f t="shared" si="0"/>
        <v>0.45209999999999995</v>
      </c>
      <c r="F15" s="7"/>
    </row>
    <row r="16" spans="1:6" x14ac:dyDescent="0.3">
      <c r="A16" s="1"/>
      <c r="B16" s="1" t="s">
        <v>19</v>
      </c>
      <c r="C16" s="1">
        <v>8</v>
      </c>
      <c r="D16" s="6">
        <v>3.6400000000000002E-2</v>
      </c>
      <c r="E16" s="6">
        <f t="shared" si="0"/>
        <v>0.29120000000000001</v>
      </c>
      <c r="F16" s="7"/>
    </row>
    <row r="17" spans="1:6" x14ac:dyDescent="0.3">
      <c r="A17" s="1"/>
      <c r="B17" s="1" t="s">
        <v>20</v>
      </c>
      <c r="C17" s="1">
        <v>4</v>
      </c>
      <c r="D17" s="6">
        <v>3.6400000000000002E-2</v>
      </c>
      <c r="E17" s="6">
        <f t="shared" si="0"/>
        <v>0.14560000000000001</v>
      </c>
      <c r="F17" s="7"/>
    </row>
    <row r="18" spans="1:6" x14ac:dyDescent="0.3">
      <c r="A18" s="1"/>
      <c r="B18" s="1" t="s">
        <v>21</v>
      </c>
      <c r="C18" s="1">
        <v>1</v>
      </c>
      <c r="D18" s="6">
        <v>1</v>
      </c>
      <c r="E18" s="6">
        <f t="shared" si="0"/>
        <v>1</v>
      </c>
      <c r="F18" s="7"/>
    </row>
    <row r="19" spans="1:6" x14ac:dyDescent="0.3">
      <c r="A19" s="1"/>
      <c r="B19" s="1" t="s">
        <v>22</v>
      </c>
      <c r="C19" s="1">
        <v>1</v>
      </c>
      <c r="D19" s="6">
        <v>10</v>
      </c>
      <c r="E19" s="6">
        <f t="shared" si="0"/>
        <v>10</v>
      </c>
      <c r="F19" s="7"/>
    </row>
    <row r="20" spans="1:6" x14ac:dyDescent="0.3">
      <c r="A20" s="1"/>
      <c r="B20" s="1" t="s">
        <v>23</v>
      </c>
      <c r="C20" s="1">
        <v>13</v>
      </c>
      <c r="D20" s="6">
        <v>0.1615</v>
      </c>
      <c r="E20" s="6">
        <f t="shared" si="0"/>
        <v>2.0994999999999999</v>
      </c>
      <c r="F20" s="7"/>
    </row>
    <row r="21" spans="1:6" x14ac:dyDescent="0.3">
      <c r="A21" s="1"/>
      <c r="B21" s="1" t="s">
        <v>24</v>
      </c>
      <c r="C21" s="1">
        <v>1</v>
      </c>
      <c r="D21" s="6">
        <v>0.252</v>
      </c>
      <c r="E21" s="6">
        <f t="shared" si="0"/>
        <v>0.252</v>
      </c>
      <c r="F21" s="7"/>
    </row>
    <row r="22" spans="1:6" x14ac:dyDescent="0.3">
      <c r="A22" s="1"/>
      <c r="B22" s="1" t="s">
        <v>25</v>
      </c>
      <c r="C22" s="1">
        <v>1</v>
      </c>
      <c r="D22" s="6">
        <v>4.7199999999999999E-2</v>
      </c>
      <c r="E22" s="6">
        <f t="shared" si="0"/>
        <v>4.7199999999999999E-2</v>
      </c>
      <c r="F22" s="7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2026-02-18T11:48:22Z</dcterms:modified>
</cp:coreProperties>
</file>